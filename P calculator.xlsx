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errifield_12_buckeyemail_osu_edu/Documents/classes/MECHENG 7751 Advanced Kinematics and Mechanics/project 2/"/>
    </mc:Choice>
  </mc:AlternateContent>
  <xr:revisionPtr revIDLastSave="0" documentId="8_{551D1011-726B-4CD4-8D3E-474CFD817A88}" xr6:coauthVersionLast="47" xr6:coauthVersionMax="47" xr10:uidLastSave="{00000000-0000-0000-0000-000000000000}"/>
  <bookViews>
    <workbookView xWindow="8385" yWindow="1560" windowWidth="14310" windowHeight="14235" xr2:uid="{AED3DE6E-3036-4746-93CD-C81DA2BC8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3" i="1"/>
  <c r="E11" i="1"/>
  <c r="E12" i="1"/>
  <c r="E10" i="1"/>
  <c r="D11" i="1"/>
  <c r="D12" i="1"/>
  <c r="D10" i="1"/>
  <c r="L8" i="1"/>
  <c r="D4" i="1" l="1"/>
  <c r="D5" i="1"/>
  <c r="D3" i="1"/>
</calcChain>
</file>

<file path=xl/sharedStrings.xml><?xml version="1.0" encoding="utf-8"?>
<sst xmlns="http://schemas.openxmlformats.org/spreadsheetml/2006/main" count="19" uniqueCount="14">
  <si>
    <t>n</t>
  </si>
  <si>
    <t>PH</t>
  </si>
  <si>
    <t>PV</t>
  </si>
  <si>
    <t>l</t>
  </si>
  <si>
    <t>E</t>
  </si>
  <si>
    <t>v</t>
  </si>
  <si>
    <t>a</t>
  </si>
  <si>
    <t>w</t>
  </si>
  <si>
    <t>t</t>
  </si>
  <si>
    <t>I</t>
  </si>
  <si>
    <t xml:space="preserve"> </t>
  </si>
  <si>
    <t xml:space="preserve">MPa </t>
  </si>
  <si>
    <t>mm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</si>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</sst>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45B3-85A9-43ED-ABF6-C6F30E09E73C}">
  <dimension ref="B2:M12"/>
  <sheetViews>
    <sheetView tabSelected="1" workbookViewId="0">
      <selection activeCell="F6" sqref="F6"/>
    </sheetView>
  </sheetViews>
  <sheetFormatPr defaultRowHeight="15" x14ac:dyDescent="0.25"/>
  <cols>
    <col min="12" max="12" width="10" bestFit="1" customWidth="1"/>
  </cols>
  <sheetData>
    <row r="2" spans="2:13" x14ac:dyDescent="0.25">
      <c r="B2" t="s">
        <v>0</v>
      </c>
      <c r="C2" t="s">
        <v>2</v>
      </c>
      <c r="D2" t="s">
        <v>1</v>
      </c>
      <c r="K2" t="s">
        <v>3</v>
      </c>
      <c r="L2">
        <v>200</v>
      </c>
      <c r="M2" t="s">
        <v>12</v>
      </c>
    </row>
    <row r="3" spans="2:13" x14ac:dyDescent="0.25">
      <c r="B3">
        <v>0.5</v>
      </c>
      <c r="C3">
        <f>-(($L$5^2)*$L$3*$L$8)/($L$2^2)</f>
        <v>-7.6666666666666661E-2</v>
      </c>
      <c r="D3">
        <f>B3*C3*-1</f>
        <v>3.833333333333333E-2</v>
      </c>
      <c r="K3" t="s">
        <v>4</v>
      </c>
      <c r="L3" s="1">
        <v>1840</v>
      </c>
      <c r="M3" t="s">
        <v>11</v>
      </c>
    </row>
    <row r="4" spans="2:13" x14ac:dyDescent="0.25">
      <c r="B4">
        <v>1</v>
      </c>
      <c r="C4">
        <f t="shared" ref="C4:C5" si="0">-(($L$5^2)*$L$3*$L$8)/($L$2^2)</f>
        <v>-7.6666666666666661E-2</v>
      </c>
      <c r="D4">
        <f t="shared" ref="D4:D5" si="1">B4*C4*-1</f>
        <v>7.6666666666666661E-2</v>
      </c>
      <c r="K4" t="s">
        <v>5</v>
      </c>
      <c r="L4">
        <v>0.45</v>
      </c>
    </row>
    <row r="5" spans="2:13" x14ac:dyDescent="0.25">
      <c r="B5">
        <v>2</v>
      </c>
      <c r="C5">
        <f t="shared" si="0"/>
        <v>-7.6666666666666661E-2</v>
      </c>
      <c r="D5">
        <f t="shared" si="1"/>
        <v>0.15333333333333332</v>
      </c>
      <c r="K5" t="s">
        <v>6</v>
      </c>
      <c r="L5">
        <v>0.5</v>
      </c>
    </row>
    <row r="6" spans="2:13" x14ac:dyDescent="0.25">
      <c r="K6" t="s">
        <v>7</v>
      </c>
      <c r="L6">
        <v>10</v>
      </c>
      <c r="M6" t="s">
        <v>12</v>
      </c>
    </row>
    <row r="7" spans="2:13" x14ac:dyDescent="0.25">
      <c r="K7" t="s">
        <v>8</v>
      </c>
      <c r="L7">
        <v>2</v>
      </c>
      <c r="M7" t="s">
        <v>12</v>
      </c>
    </row>
    <row r="8" spans="2:13" x14ac:dyDescent="0.25">
      <c r="K8" t="s">
        <v>9</v>
      </c>
      <c r="L8">
        <f>(1/12)*L6*(L7^3)</f>
        <v>6.6666666666666661</v>
      </c>
    </row>
    <row r="9" spans="2:13" x14ac:dyDescent="0.25">
      <c r="B9" t="s">
        <v>0</v>
      </c>
      <c r="C9" t="s">
        <v>2</v>
      </c>
      <c r="D9" t="s">
        <v>1</v>
      </c>
      <c r="E9" t="s">
        <v>13</v>
      </c>
      <c r="L9" t="s">
        <v>10</v>
      </c>
    </row>
    <row r="10" spans="2:13" x14ac:dyDescent="0.25">
      <c r="B10">
        <v>0.5</v>
      </c>
      <c r="C10">
        <v>0.35</v>
      </c>
      <c r="D10">
        <f>B10*C10</f>
        <v>0.17499999999999999</v>
      </c>
      <c r="E10" s="1">
        <f>(C10*$L$2^2)/($L$3*$L$8)</f>
        <v>1.1413043478260869</v>
      </c>
    </row>
    <row r="11" spans="2:13" x14ac:dyDescent="0.25">
      <c r="B11">
        <v>1</v>
      </c>
      <c r="C11">
        <v>0.22</v>
      </c>
      <c r="D11">
        <f t="shared" ref="D11:D12" si="2">B11*C11</f>
        <v>0.22</v>
      </c>
      <c r="E11" s="1">
        <f t="shared" ref="E11:E12" si="3">(C11*$L$2^2)/($L$3*$L$8)</f>
        <v>0.71739130434782616</v>
      </c>
    </row>
    <row r="12" spans="2:13" x14ac:dyDescent="0.25">
      <c r="B12">
        <v>2</v>
      </c>
      <c r="C12">
        <v>0.12</v>
      </c>
      <c r="D12">
        <f t="shared" si="2"/>
        <v>0.24</v>
      </c>
      <c r="E12" s="1">
        <f t="shared" si="3"/>
        <v>0.39130434782608697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Merrifield, Ava</dc:creator>
  <cp:lastModifiedBy>Merrifield, Ava</cp:lastModifiedBy>
  <dcterms:created xsi:type="dcterms:W3CDTF">2026-04-22T15:25:06Z</dcterms:created>
  <dcterms:modified xsi:type="dcterms:W3CDTF">2026-04-23T19:54:24Z</dcterms:modified>
</cp:coreProperties>
</file>